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bhinav\Downloads\"/>
    </mc:Choice>
  </mc:AlternateContent>
  <xr:revisionPtr revIDLastSave="0" documentId="13_ncr:1_{CD520497-48B2-4BC0-A779-65F6FF6A0D2E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BOM" sheetId="1" r:id="rId1"/>
  </sheets>
  <definedNames>
    <definedName name="_xlnm._FilterDatabase" localSheetId="0" hidden="1">BOM!$A$2:$G$14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1" l="1"/>
  <c r="D22" i="1"/>
  <c r="D23" i="1"/>
  <c r="F16" i="1"/>
  <c r="C25" i="1" s="1"/>
  <c r="D25" i="1" s="1"/>
  <c r="D20" i="1"/>
  <c r="G4" i="1"/>
  <c r="G5" i="1"/>
  <c r="G6" i="1"/>
  <c r="G7" i="1"/>
  <c r="G8" i="1"/>
  <c r="G9" i="1"/>
  <c r="G10" i="1"/>
  <c r="G11" i="1"/>
  <c r="G12" i="1"/>
  <c r="G13" i="1"/>
  <c r="G14" i="1"/>
  <c r="G15" i="1"/>
  <c r="G3" i="1"/>
  <c r="G16" i="1" l="1"/>
</calcChain>
</file>

<file path=xl/sharedStrings.xml><?xml version="1.0" encoding="utf-8"?>
<sst xmlns="http://schemas.openxmlformats.org/spreadsheetml/2006/main" count="57" uniqueCount="51">
  <si>
    <t>Component</t>
  </si>
  <si>
    <t>Value / Part</t>
  </si>
  <si>
    <t>Qty</t>
  </si>
  <si>
    <t>Capacitor</t>
  </si>
  <si>
    <t>10 µF</t>
  </si>
  <si>
    <t>1 µF</t>
  </si>
  <si>
    <t>22 pF</t>
  </si>
  <si>
    <t>100 nF</t>
  </si>
  <si>
    <t>GL850G</t>
  </si>
  <si>
    <t>USB-C Receptacle</t>
  </si>
  <si>
    <t>USB 2.0, 16P</t>
  </si>
  <si>
    <t>USB-A Receptacle</t>
  </si>
  <si>
    <t>Molex 67643</t>
  </si>
  <si>
    <t>Resistor</t>
  </si>
  <si>
    <t>5.1 kΩ</t>
  </si>
  <si>
    <t>680 Ω</t>
  </si>
  <si>
    <t>10 kΩ</t>
  </si>
  <si>
    <t>Crystal</t>
  </si>
  <si>
    <t>12 MHz</t>
  </si>
  <si>
    <t>Sl no</t>
  </si>
  <si>
    <t>USB IC</t>
  </si>
  <si>
    <t>Link</t>
  </si>
  <si>
    <t>PCB</t>
  </si>
  <si>
    <t>Fabricated by lionscircuit</t>
  </si>
  <si>
    <t>https://www.lioncircuits.com/</t>
  </si>
  <si>
    <t>Price (Inr)</t>
  </si>
  <si>
    <t>Price(USD)</t>
  </si>
  <si>
    <t>Soldering Wire</t>
  </si>
  <si>
    <t>40/60 0.8mm</t>
  </si>
  <si>
    <t>https://robu.in/product/tin-wire-soldering-tubeus-0-8mm-40-60-8gram/</t>
  </si>
  <si>
    <t>https://www.ktron.in/product/100nf-100v-ceramic-capacitor-0805/</t>
  </si>
  <si>
    <t>https://hubtronics.in/1884</t>
  </si>
  <si>
    <t>Shipping</t>
  </si>
  <si>
    <t>Hubtronics</t>
  </si>
  <si>
    <t>INR</t>
  </si>
  <si>
    <t>USD</t>
  </si>
  <si>
    <t>Total</t>
  </si>
  <si>
    <t>https://www.ktron.in/product/12-mhz-crystal-smd-hc49smd-yxc/</t>
  </si>
  <si>
    <t>https://robu.in/product/ac0805jr-0710kl-yageo-res-thick-film-0805-10k-ohm-5-0-125w1-8w-%c2%b1100ppm-c-pad-smd-t-r-automotive-aec-q200/</t>
  </si>
  <si>
    <t>https://www.ktron.in/product/usb-type-a-female-connector/</t>
  </si>
  <si>
    <t>https://www.ktron.in/product/mup-u20401-03-usb-type-c-16-pin-smd-connector/</t>
  </si>
  <si>
    <t>https://robu.in/product/rt0805fre07680rl-yageo-125mw-thin-film-resistor-%c2%b150ppm-%e2%84%83-%c2%b11-680%cf%89-0805-chip-resistor-surface-mount-rohs/</t>
  </si>
  <si>
    <t>https://robu.in/product/erj6geyj512v-panasonic-125mw-thick-film-resistors-%c2%b15-%c2%b1200ppm-%e2%84%83-5-1k%cf%89-0805-chip-resistor-surface-mount-rohs/</t>
  </si>
  <si>
    <t>https://www.ktron.in/product/10uf-25v-ceramic-capacitor-smd-0805/</t>
  </si>
  <si>
    <t>https://www.ktron.in/product/22pf-100v-multi-layered-ceramic-capacitor/</t>
  </si>
  <si>
    <t>https://robu.in/product/gcm21br71e105ka56k-murata-electronics-25v-1uf-x7r-%c2%b110-0805-multilayer-ceramic-capacitors-mlcc-smd-smt-rohs/</t>
  </si>
  <si>
    <t>Robu</t>
  </si>
  <si>
    <t>Ktron</t>
  </si>
  <si>
    <t>Combined total</t>
  </si>
  <si>
    <t>PARTS</t>
  </si>
  <si>
    <t>Companies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</si>
</sst>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0" xfId="0" applyFont="1"/>
    <xf numFmtId="0" fontId="0" fillId="0" borderId="0" xfId="0" applyFill="1" applyBorder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Fill="1" applyBorder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pane ySplit="2" topLeftCell="A3" activePane="bottomLeft" state="frozen"/>
      <selection pane="bottomLeft" activeCell="J22" sqref="J22"/>
    </sheetView>
  </sheetViews>
  <sheetFormatPr defaultRowHeight="14.4" x14ac:dyDescent="0.3"/>
  <cols>
    <col min="1" max="1" width="6" customWidth="1"/>
    <col min="2" max="3" width="24" customWidth="1"/>
    <col min="4" max="4" width="8" customWidth="1"/>
    <col min="5" max="5" width="35.5546875" customWidth="1"/>
    <col min="6" max="6" width="16" customWidth="1"/>
    <col min="7" max="7" width="20" customWidth="1"/>
  </cols>
  <sheetData>
    <row r="1" spans="1:7" x14ac:dyDescent="0.3">
      <c r="A1" s="6" t="s">
        <v>49</v>
      </c>
      <c r="B1" s="6"/>
      <c r="C1" s="6"/>
      <c r="D1" s="6"/>
      <c r="E1" s="6"/>
      <c r="F1" s="6"/>
      <c r="G1" s="6"/>
    </row>
    <row r="2" spans="1:7" x14ac:dyDescent="0.3">
      <c r="A2" s="1" t="s">
        <v>19</v>
      </c>
      <c r="B2" s="1" t="s">
        <v>0</v>
      </c>
      <c r="C2" s="1" t="s">
        <v>1</v>
      </c>
      <c r="D2" s="1" t="s">
        <v>2</v>
      </c>
      <c r="E2" s="1" t="s">
        <v>21</v>
      </c>
      <c r="F2" s="1" t="s">
        <v>25</v>
      </c>
      <c r="G2" s="1" t="s">
        <v>26</v>
      </c>
    </row>
    <row r="3" spans="1:7" x14ac:dyDescent="0.3">
      <c r="A3" s="2">
        <v>1</v>
      </c>
      <c r="B3" s="2" t="s">
        <v>22</v>
      </c>
      <c r="C3" s="2" t="s">
        <v>23</v>
      </c>
      <c r="D3" s="2">
        <v>1</v>
      </c>
      <c r="E3" s="2" t="s">
        <v>24</v>
      </c>
      <c r="F3" s="2">
        <v>1012</v>
      </c>
      <c r="G3" s="2">
        <f>F3*0.0105</f>
        <v>10.626000000000001</v>
      </c>
    </row>
    <row r="4" spans="1:7" x14ac:dyDescent="0.3">
      <c r="A4" s="2">
        <v>2</v>
      </c>
      <c r="B4" s="2" t="s">
        <v>3</v>
      </c>
      <c r="C4" s="2" t="s">
        <v>4</v>
      </c>
      <c r="D4" s="2">
        <v>2</v>
      </c>
      <c r="E4" s="2" t="s">
        <v>43</v>
      </c>
      <c r="F4" s="2">
        <v>21.6</v>
      </c>
      <c r="G4" s="2">
        <f t="shared" ref="G4:G15" si="0">F4*0.0105</f>
        <v>0.22680000000000003</v>
      </c>
    </row>
    <row r="5" spans="1:7" x14ac:dyDescent="0.3">
      <c r="A5" s="2">
        <v>3</v>
      </c>
      <c r="B5" s="2" t="s">
        <v>3</v>
      </c>
      <c r="C5" s="2" t="s">
        <v>5</v>
      </c>
      <c r="D5" s="2">
        <v>4</v>
      </c>
      <c r="E5" s="2" t="s">
        <v>45</v>
      </c>
      <c r="F5" s="2">
        <v>21.1</v>
      </c>
      <c r="G5" s="2">
        <f t="shared" si="0"/>
        <v>0.22155000000000002</v>
      </c>
    </row>
    <row r="6" spans="1:7" x14ac:dyDescent="0.3">
      <c r="A6" s="2">
        <v>4</v>
      </c>
      <c r="B6" s="2" t="s">
        <v>3</v>
      </c>
      <c r="C6" s="2" t="s">
        <v>6</v>
      </c>
      <c r="D6" s="2">
        <v>2</v>
      </c>
      <c r="E6" s="2" t="s">
        <v>44</v>
      </c>
      <c r="F6" s="2">
        <v>20</v>
      </c>
      <c r="G6" s="2">
        <f t="shared" si="0"/>
        <v>0.21000000000000002</v>
      </c>
    </row>
    <row r="7" spans="1:7" x14ac:dyDescent="0.3">
      <c r="A7" s="2">
        <v>5</v>
      </c>
      <c r="B7" s="2" t="s">
        <v>3</v>
      </c>
      <c r="C7" s="2" t="s">
        <v>7</v>
      </c>
      <c r="D7" s="2">
        <v>5</v>
      </c>
      <c r="E7" s="2" t="s">
        <v>30</v>
      </c>
      <c r="F7" s="2">
        <v>19</v>
      </c>
      <c r="G7" s="2">
        <f t="shared" si="0"/>
        <v>0.19950000000000001</v>
      </c>
    </row>
    <row r="8" spans="1:7" x14ac:dyDescent="0.3">
      <c r="A8" s="2">
        <v>6</v>
      </c>
      <c r="B8" s="2" t="s">
        <v>20</v>
      </c>
      <c r="C8" s="2" t="s">
        <v>8</v>
      </c>
      <c r="D8" s="2">
        <v>1</v>
      </c>
      <c r="E8" s="2" t="s">
        <v>31</v>
      </c>
      <c r="F8" s="2">
        <v>84</v>
      </c>
      <c r="G8" s="2">
        <f t="shared" si="0"/>
        <v>0.88200000000000001</v>
      </c>
    </row>
    <row r="9" spans="1:7" x14ac:dyDescent="0.3">
      <c r="A9" s="2">
        <v>7</v>
      </c>
      <c r="B9" s="2" t="s">
        <v>9</v>
      </c>
      <c r="C9" s="2" t="s">
        <v>10</v>
      </c>
      <c r="D9" s="2">
        <v>3</v>
      </c>
      <c r="E9" s="2" t="s">
        <v>40</v>
      </c>
      <c r="F9" s="2">
        <v>71</v>
      </c>
      <c r="G9" s="2">
        <f t="shared" si="0"/>
        <v>0.74550000000000005</v>
      </c>
    </row>
    <row r="10" spans="1:7" x14ac:dyDescent="0.3">
      <c r="A10" s="2">
        <v>8</v>
      </c>
      <c r="B10" s="2" t="s">
        <v>11</v>
      </c>
      <c r="C10" s="2" t="s">
        <v>12</v>
      </c>
      <c r="D10" s="2">
        <v>2</v>
      </c>
      <c r="E10" s="2" t="s">
        <v>39</v>
      </c>
      <c r="F10" s="2">
        <v>15</v>
      </c>
      <c r="G10" s="2">
        <f t="shared" si="0"/>
        <v>0.1575</v>
      </c>
    </row>
    <row r="11" spans="1:7" x14ac:dyDescent="0.3">
      <c r="A11" s="2">
        <v>9</v>
      </c>
      <c r="B11" s="2" t="s">
        <v>13</v>
      </c>
      <c r="C11" s="2" t="s">
        <v>14</v>
      </c>
      <c r="D11" s="2">
        <v>6</v>
      </c>
      <c r="E11" s="2" t="s">
        <v>42</v>
      </c>
      <c r="F11" s="2">
        <v>11</v>
      </c>
      <c r="G11" s="2">
        <f t="shared" si="0"/>
        <v>0.11550000000000001</v>
      </c>
    </row>
    <row r="12" spans="1:7" x14ac:dyDescent="0.3">
      <c r="A12" s="2">
        <v>10</v>
      </c>
      <c r="B12" s="2" t="s">
        <v>13</v>
      </c>
      <c r="C12" s="2" t="s">
        <v>15</v>
      </c>
      <c r="D12" s="2">
        <v>1</v>
      </c>
      <c r="E12" s="2" t="s">
        <v>41</v>
      </c>
      <c r="F12" s="2">
        <v>13</v>
      </c>
      <c r="G12" s="2">
        <f t="shared" si="0"/>
        <v>0.13650000000000001</v>
      </c>
    </row>
    <row r="13" spans="1:7" x14ac:dyDescent="0.3">
      <c r="A13" s="2">
        <v>11</v>
      </c>
      <c r="B13" s="2" t="s">
        <v>13</v>
      </c>
      <c r="C13" s="2" t="s">
        <v>16</v>
      </c>
      <c r="D13" s="2">
        <v>1</v>
      </c>
      <c r="E13" s="2" t="s">
        <v>38</v>
      </c>
      <c r="F13" s="2">
        <v>11</v>
      </c>
      <c r="G13" s="2">
        <f t="shared" si="0"/>
        <v>0.11550000000000001</v>
      </c>
    </row>
    <row r="14" spans="1:7" x14ac:dyDescent="0.3">
      <c r="A14" s="2">
        <v>12</v>
      </c>
      <c r="B14" s="2" t="s">
        <v>17</v>
      </c>
      <c r="C14" s="2" t="s">
        <v>18</v>
      </c>
      <c r="D14" s="2">
        <v>1</v>
      </c>
      <c r="E14" s="2" t="s">
        <v>37</v>
      </c>
      <c r="F14" s="2">
        <v>24</v>
      </c>
      <c r="G14" s="2">
        <f t="shared" si="0"/>
        <v>0.252</v>
      </c>
    </row>
    <row r="15" spans="1:7" x14ac:dyDescent="0.3">
      <c r="A15" s="4">
        <v>13</v>
      </c>
      <c r="B15" s="4" t="s">
        <v>27</v>
      </c>
      <c r="C15" s="4" t="s">
        <v>28</v>
      </c>
      <c r="D15" s="4">
        <v>1</v>
      </c>
      <c r="E15" t="s">
        <v>29</v>
      </c>
      <c r="F15">
        <v>53</v>
      </c>
      <c r="G15" s="2">
        <f t="shared" si="0"/>
        <v>0.55649999999999999</v>
      </c>
    </row>
    <row r="16" spans="1:7" ht="15.6" x14ac:dyDescent="0.3">
      <c r="A16" s="3"/>
      <c r="B16" t="s">
        <v>36</v>
      </c>
      <c r="F16">
        <f>SUM(F3:F15)</f>
        <v>1375.6999999999998</v>
      </c>
      <c r="G16" s="4">
        <f>SUM(G3:G15)</f>
        <v>14.444850000000006</v>
      </c>
    </row>
    <row r="17" spans="1:7" ht="15.6" x14ac:dyDescent="0.3">
      <c r="A17" s="3"/>
    </row>
    <row r="18" spans="1:7" ht="15.6" x14ac:dyDescent="0.3">
      <c r="A18" s="5" t="s">
        <v>32</v>
      </c>
      <c r="B18" s="5"/>
      <c r="C18" s="5"/>
      <c r="D18" s="5"/>
      <c r="E18" s="5"/>
      <c r="F18" s="5"/>
      <c r="G18" s="5"/>
    </row>
    <row r="19" spans="1:7" x14ac:dyDescent="0.3">
      <c r="B19" s="4" t="s">
        <v>50</v>
      </c>
      <c r="C19" s="7" t="s">
        <v>34</v>
      </c>
      <c r="D19" s="8" t="s">
        <v>35</v>
      </c>
    </row>
    <row r="20" spans="1:7" x14ac:dyDescent="0.3">
      <c r="B20" s="4" t="s">
        <v>33</v>
      </c>
      <c r="C20">
        <v>75</v>
      </c>
      <c r="D20">
        <f>C20*0.0105</f>
        <v>0.78750000000000009</v>
      </c>
    </row>
    <row r="21" spans="1:7" x14ac:dyDescent="0.3">
      <c r="B21" s="4" t="s">
        <v>46</v>
      </c>
      <c r="C21">
        <v>50</v>
      </c>
      <c r="D21">
        <f t="shared" ref="D21:D25" si="1">C21*0.0105</f>
        <v>0.52500000000000002</v>
      </c>
    </row>
    <row r="22" spans="1:7" x14ac:dyDescent="0.3">
      <c r="B22" s="4" t="s">
        <v>47</v>
      </c>
      <c r="C22">
        <v>77</v>
      </c>
      <c r="D22">
        <f t="shared" si="1"/>
        <v>0.8085</v>
      </c>
    </row>
    <row r="23" spans="1:7" x14ac:dyDescent="0.3">
      <c r="B23" s="4" t="s">
        <v>36</v>
      </c>
      <c r="C23">
        <v>202</v>
      </c>
      <c r="D23">
        <f t="shared" si="1"/>
        <v>2.121</v>
      </c>
    </row>
    <row r="25" spans="1:7" x14ac:dyDescent="0.3">
      <c r="B25" s="7" t="s">
        <v>48</v>
      </c>
      <c r="C25" s="8">
        <f>C23+F16</f>
        <v>1577.6999999999998</v>
      </c>
      <c r="D25" s="8">
        <f t="shared" si="1"/>
        <v>16.565849999999998</v>
      </c>
    </row>
  </sheetData>
  <autoFilter ref="A2:G14" xr:uid="{00000000-0009-0000-0000-000000000000}"/>
  <mergeCells count="2">
    <mergeCell ref="A1:G1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abhinav</cp:lastModifiedBy>
  <dcterms:created xsi:type="dcterms:W3CDTF">2026-08-16T07:56:55Z</dcterms:created>
  <dcterms:modified xsi:type="dcterms:W3CDTF">2026-08-16T10:52:51Z</dcterms:modified>
</cp:coreProperties>
</file>